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<sst xmlns="http://schemas.openxmlformats.org/spreadsheetml/2006/main" uniqueCount="19" count="19">
  <si>
    <t>FIRST  WEEK OF THE MONTH</t>
  </si>
  <si>
    <t>DATE</t>
  </si>
  <si>
    <t>DAYS</t>
  </si>
  <si>
    <t>QTY OF LEADS</t>
  </si>
  <si>
    <t>ADS SPENT</t>
  </si>
  <si>
    <t>COST PER LEAD</t>
  </si>
  <si>
    <t>THURSDAY</t>
  </si>
  <si>
    <t>FRIDAY</t>
  </si>
  <si>
    <t>SATURDAY</t>
  </si>
  <si>
    <t>TOTAL</t>
  </si>
  <si>
    <t>SECOND WEEK OF THE MONTH</t>
  </si>
  <si>
    <t>SUNDAY</t>
  </si>
  <si>
    <t>MONDAY</t>
  </si>
  <si>
    <t>TUESDAY</t>
  </si>
  <si>
    <t>WEDNESDAY</t>
  </si>
  <si>
    <t>THIRD WEEK OF THE MONTH</t>
  </si>
  <si>
    <t>FOURTH WEEK OF THE MONTH</t>
  </si>
  <si>
    <t>FIFTH WEEK OF THE MONTH</t>
  </si>
  <si>
    <t>GRAND TOTAL</t>
  </si>
</sst>
</file>

<file path=xl/styles.xml><?xml version="1.0" encoding="utf-8"?>
<styleSheet xmlns="http://schemas.openxmlformats.org/spreadsheetml/2006/main">
  <numFmts count="3">
    <numFmt numFmtId="0" formatCode="General"/>
    <numFmt numFmtId="4" formatCode="#,##0.00"/>
    <numFmt numFmtId="164" formatCode="_(* #,##0.00_);_(* \(#,##0.00\);_(* &quot;-&quot;??_);_(@_)"/>
  </numFmts>
  <fonts count="13">
    <font>
      <name val="Arial"/>
      <sz val="10"/>
    </font>
    <font>
      <name val="Aptos Narrow"/>
      <b/>
      <sz val="14"/>
      <color rgb="FF156083"/>
    </font>
    <font>
      <name val="Aptos Narrow"/>
      <sz val="11"/>
      <color rgb="FF000000"/>
    </font>
    <font>
      <name val="Arial"/>
      <sz val="10"/>
    </font>
    <font>
      <name val="Arial"/>
      <b/>
      <sz val="11"/>
      <color rgb="FF000000"/>
    </font>
    <font>
      <name val="Aptos Narrow"/>
      <b/>
      <sz val="11"/>
      <color rgb="FF000000"/>
    </font>
    <font>
      <name val="Arial"/>
      <sz val="11"/>
      <color rgb="FF1C2B33"/>
    </font>
    <font>
      <name val="&quot;Optimistic 95&quot;"/>
      <sz val="11"/>
      <color rgb="FF1C2B33"/>
    </font>
    <font>
      <name val="Arial"/>
      <sz val="11"/>
      <color rgb="FF000000"/>
    </font>
    <font>
      <name val="Optimistic 95"/>
      <sz val="11"/>
      <color rgb="FF1C2B33"/>
    </font>
    <font>
      <name val="Aptos Narrow"/>
      <b/>
      <sz val="14"/>
      <color rgb="FFA12A93"/>
    </font>
    <font>
      <name val="Arial"/>
      <sz val="10"/>
      <color rgb="FF000000"/>
    </font>
    <font>
      <name val="Aptos Narrow"/>
      <b/>
      <sz val="16"/>
      <color rgb="FFC0000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0" xfId="0" applyFont="1" applyFill="1" applyAlignment="1">
      <alignment horizontal="center" vertical="bottom"/>
    </xf>
    <xf numFmtId="0" fontId="2" fillId="2" borderId="0" xfId="0" applyFont="1" applyFill="1" applyAlignment="1">
      <alignment vertical="bottom"/>
    </xf>
    <xf numFmtId="0" fontId="1" fillId="2" borderId="0" xfId="0" applyFont="1" applyFill="1" applyBorder="1" applyAlignment="1">
      <alignment horizontal="left" vertical="bottom"/>
    </xf>
    <xf numFmtId="0" fontId="3" fillId="0" borderId="0" xfId="0" applyFont="1" applyBorder="1" applyAlignment="1">
      <alignment vertical="bottom"/>
    </xf>
    <xf numFmtId="0" fontId="3" fillId="0" borderId="0" xfId="0" applyFont="1" applyBorder="1" applyAlignment="1">
      <alignment vertical="bottom"/>
    </xf>
    <xf numFmtId="0" fontId="2" fillId="2" borderId="0" xfId="0" applyFont="1" applyFill="1" applyBorder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4" fillId="0" borderId="0" xfId="0" applyFont="1" applyAlignment="1">
      <alignment horizontal="left" vertical="bottom"/>
    </xf>
    <xf numFmtId="0" fontId="5" fillId="0" borderId="0" xfId="0" applyFont="1" applyAlignment="1">
      <alignment horizontal="left"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4" fontId="6" fillId="2" borderId="0" xfId="0" applyNumberFormat="1" applyFont="1" applyFill="1" applyAlignment="1">
      <alignment horizontal="right" vertical="center"/>
    </xf>
    <xf numFmtId="4" fontId="7" fillId="2" borderId="0" xfId="0" applyNumberFormat="1" applyFont="1" applyFill="1">
      <alignment vertical="center"/>
    </xf>
    <xf numFmtId="0" fontId="2" fillId="0" borderId="0" xfId="0" applyFont="1" applyAlignment="1">
      <alignment horizontal="right" vertical="bottom"/>
    </xf>
    <xf numFmtId="0" fontId="2" fillId="0" borderId="0" xfId="0" applyFont="1" applyAlignment="1">
      <alignment horizontal="right" vertical="center"/>
    </xf>
    <xf numFmtId="4" fontId="6" fillId="0" borderId="0" xfId="0" applyNumberFormat="1" applyFont="1">
      <alignment vertical="center"/>
    </xf>
    <xf numFmtId="0" fontId="8" fillId="0" borderId="0" xfId="0" applyFont="1" applyAlignment="1">
      <alignment horizontal="right" vertical="center"/>
    </xf>
    <xf numFmtId="4" fontId="9" fillId="2" borderId="0" xfId="0" applyNumberFormat="1" applyFont="1" applyFill="1">
      <alignment vertical="center"/>
    </xf>
    <xf numFmtId="0" fontId="10" fillId="2" borderId="0" xfId="0" applyFont="1" applyFill="1" applyAlignment="1">
      <alignment vertical="bottom"/>
    </xf>
    <xf numFmtId="0" fontId="10" fillId="2" borderId="1" xfId="0" applyFont="1" applyFill="1" applyBorder="1" applyAlignment="1">
      <alignment vertical="bottom"/>
    </xf>
    <xf numFmtId="4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right" vertical="bottom"/>
    </xf>
    <xf numFmtId="0" fontId="5" fillId="0" borderId="3" xfId="0" applyFont="1" applyBorder="1" applyAlignment="1">
      <alignment horizontal="right" vertical="bottom"/>
    </xf>
    <xf numFmtId="0" fontId="1" fillId="0" borderId="0" xfId="0" applyFont="1" applyAlignment="1">
      <alignment horizontal="left" vertical="bottom"/>
    </xf>
    <xf numFmtId="0" fontId="4" fillId="0" borderId="0" xfId="0" applyFont="1" applyAlignment="1">
      <alignment horizontal="left" vertical="bottom"/>
    </xf>
    <xf numFmtId="0" fontId="11" fillId="0" borderId="0" xfId="0" applyFont="1" applyAlignment="1">
      <alignment horizontal="left" vertical="bottom"/>
    </xf>
    <xf numFmtId="0" fontId="10" fillId="0" borderId="0" xfId="0" applyFont="1" applyAlignment="1">
      <alignment vertical="bottom"/>
    </xf>
    <xf numFmtId="0" fontId="10" fillId="0" borderId="1" xfId="0" applyFont="1" applyBorder="1" applyAlignment="1">
      <alignment vertical="bottom"/>
    </xf>
    <xf numFmtId="0" fontId="5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bottom"/>
    </xf>
    <xf numFmtId="0" fontId="5" fillId="0" borderId="4" xfId="0" applyFont="1" applyBorder="1" applyAlignment="1">
      <alignment horizontal="right" vertical="bottom"/>
    </xf>
    <xf numFmtId="0" fontId="2" fillId="0" borderId="5" xfId="0" applyFont="1" applyBorder="1" applyAlignment="1">
      <alignment horizontal="right" vertical="bottom"/>
    </xf>
    <xf numFmtId="4" fontId="6" fillId="0" borderId="0" xfId="0" applyNumberFormat="1" applyFont="1" applyAlignment="1">
      <alignment horizontal="right" vertical="center"/>
    </xf>
    <xf numFmtId="0" fontId="2" fillId="0" borderId="6" xfId="0" applyFont="1" applyBorder="1" applyAlignment="1">
      <alignment horizontal="right" vertical="bottom"/>
    </xf>
    <xf numFmtId="0" fontId="8" fillId="0" borderId="0" xfId="0" applyFo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bottom"/>
    </xf>
    <xf numFmtId="0" fontId="2" fillId="0" borderId="4" xfId="0" applyFont="1" applyBorder="1" applyAlignment="1">
      <alignment horizontal="right" vertical="bottom"/>
    </xf>
    <xf numFmtId="4" fontId="9" fillId="2" borderId="0" xfId="0" applyNumberFormat="1" applyFont="1" applyFill="1" applyAlignment="1">
      <alignment horizontal="right" vertical="center"/>
    </xf>
    <xf numFmtId="0" fontId="2" fillId="0" borderId="0" xfId="0" applyFont="1">
      <alignment vertical="center"/>
    </xf>
    <xf numFmtId="4" fontId="2" fillId="0" borderId="0" xfId="0" applyNumberFormat="1" applyFont="1">
      <alignment vertical="center"/>
    </xf>
    <xf numFmtId="164" fontId="2" fillId="0" borderId="0" xfId="0" applyNumberFormat="1" applyFont="1" applyAlignment="1">
      <alignment vertical="bottom"/>
    </xf>
    <xf numFmtId="0" fontId="12" fillId="0" borderId="1" xfId="0" applyFont="1" applyBorder="1" applyAlignment="1">
      <alignment vertical="bottom"/>
    </xf>
    <xf numFmtId="0" fontId="3" fillId="0" borderId="2" xfId="0" applyFont="1" applyBorder="1" applyAlignment="1">
      <alignment vertical="bottom"/>
    </xf>
    <xf numFmtId="4" fontId="5" fillId="0" borderId="2" xfId="0" applyNumberFormat="1" applyFont="1" applyBorder="1" applyAlignment="1">
      <alignment horizontal="center" vertical="bottom"/>
    </xf>
    <xf numFmtId="164" fontId="5" fillId="0" borderId="2" xfId="0" applyNumberFormat="1" applyFont="1" applyBorder="1" applyAlignment="1">
      <alignment horizontal="center" vertical="bottom"/>
    </xf>
    <xf numFmtId="0" fontId="5" fillId="0" borderId="4" xfId="0" applyFont="1" applyBorder="1" applyAlignment="1">
      <alignment horizontal="center" vertical="bottom"/>
    </xf>
  </cellXfs>
  <cellStyles count="1">
    <cellStyle name="常规" xfId="0" builtinId="0"/>
  </cellStyles>
  <dxfs count="24"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font/>
      <fill>
        <patternFill patternType="solid">
          <fgColor rgb="FFCDD9D4"/>
          <bgColor rgb="FFCDD9D4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font/>
      <fill>
        <patternFill patternType="solid">
          <fgColor rgb="FFCDD9D4"/>
          <bgColor rgb="FFCDD9D4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font/>
      <fill>
        <patternFill patternType="solid">
          <fgColor rgb="FFCDD9D4"/>
          <bgColor rgb="FFCDD9D4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font/>
      <fill>
        <patternFill patternType="solid">
          <fgColor rgb="FFCDD9D4"/>
          <bgColor rgb="FFCDD9D4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</dxfs>
  <tableStyles count="5">
    <tableStyle name="Sheet1-style" pivot="0" count="5">
      <tableStyleElement type="headerRow" dxfId="0"/>
      <tableStyleElement type="firstRowStripe" dxfId="1"/>
      <tableStyleElement type="secondRowStripe" dxfId="2"/>
      <tableStyleElement type="totalRow" dxfId="3"/>
      <tableStyleElement type="wholeTable" size="0" dxfId="4"/>
    </tableStyle>
    <tableStyle name="Sheet1-style 2" pivot="0" count="5">
      <tableStyleElement type="headerRow" dxfId="5"/>
      <tableStyleElement type="firstRowStripe" dxfId="6"/>
      <tableStyleElement type="secondRowStripe" dxfId="7"/>
      <tableStyleElement type="totalRow" dxfId="8"/>
      <tableStyleElement type="wholeTable" size="0" dxfId="9"/>
    </tableStyle>
    <tableStyle name="Sheet1-style 3" pivot="0" count="5">
      <tableStyleElement type="headerRow" dxfId="10"/>
      <tableStyleElement type="firstRowStripe" dxfId="11"/>
      <tableStyleElement type="secondRowStripe" dxfId="12"/>
      <tableStyleElement type="totalRow" dxfId="13"/>
      <tableStyleElement type="wholeTable" size="0" dxfId="14"/>
    </tableStyle>
    <tableStyle name="Sheet1-style 4" pivot="0" count="5">
      <tableStyleElement type="headerRow" dxfId="15"/>
      <tableStyleElement type="firstRowStripe" dxfId="16"/>
      <tableStyleElement type="secondRowStripe" dxfId="17"/>
      <tableStyleElement type="totalRow" dxfId="18"/>
      <tableStyleElement type="wholeTable" size="0" dxfId="19"/>
    </tableStyle>
    <tableStyle name="Sheet1-style 5" pivot="0" count="4">
      <tableStyleElement type="headerRow" dxfId="20"/>
      <tableStyleElement type="firstRowStripe" dxfId="21"/>
      <tableStyleElement type="secondRowStripe" dxfId="22"/>
      <tableStyleElement type="wholeTable" size="0" dxfId="23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displayName="WEEK_1" id="1" insertRow="0" insertRowShift="0" name="WEEK_1" published="0" ref="A4:E8" totalsRowCount="1">
  <tableColumns count="5">
    <tableColumn id="1" name="DATE"/>
    <tableColumn id="2" name="DAYS" totalsRowLabel="TOTAL"/>
    <tableColumn id="3" name="QTY OF LEADS" totalsRowFunction="custom"/>
    <tableColumn id="4" name="ADS SPENT" totalsRowFunction="custom"/>
    <tableColumn id="5" name="COST PER LEAD" totalsRowFunction="custom"/>
  </tableColumns>
  <tableStyleInfo showFirstColumn="1" showLastColumn="1" showRowStripes="1" showColumnStripes="0" name="Sheet1-style"/>
</table>
</file>

<file path=xl/tables/table2.xml><?xml version="1.0" encoding="utf-8"?>
<table xmlns="http://schemas.openxmlformats.org/spreadsheetml/2006/main" xmlns:mc="http://schemas.openxmlformats.org/markup-compatibility/2006" displayName="WEEK_2" id="3" insertRow="0" insertRowShift="0" name="WEEK_2" published="0" ref="A12:E20" totalsRowCount="1">
  <tableColumns count="5">
    <tableColumn id="1" name="DATE"/>
    <tableColumn id="2" name="DAYS" totalsRowLabel="TOTAL"/>
    <tableColumn id="3" name="QTY OF LEADS" totalsRowFunction="custom"/>
    <tableColumn id="4" name="ADS SPENT" totalsRowFunction="custom"/>
    <tableColumn id="5" name="COST PER LEAD" totalsRowFunction="custom"/>
  </tableColumns>
  <tableStyleInfo showFirstColumn="1" showLastColumn="1" showRowStripes="1" showColumnStripes="0" name="Sheet1-style 2"/>
</table>
</file>

<file path=xl/tables/table3.xml><?xml version="1.0" encoding="utf-8"?>
<table xmlns="http://schemas.openxmlformats.org/spreadsheetml/2006/main" xmlns:mc="http://schemas.openxmlformats.org/markup-compatibility/2006" displayName="WEEK_3" id="5" insertRow="0" insertRowShift="0" name="WEEK_3" published="0" ref="A24:E32" totalsRowCount="1">
  <tableColumns count="5">
    <tableColumn id="1" name="DATE"/>
    <tableColumn id="2" name="DAYS" totalsRowLabel="TOTAL"/>
    <tableColumn id="3" name="QTY OF LEADS" totalsRowFunction="custom"/>
    <tableColumn id="4" name="ADS SPENT" totalsRowFunction="custom"/>
    <tableColumn id="5" name="COST PER LEAD" totalsRowFunction="custom"/>
  </tableColumns>
  <tableStyleInfo showFirstColumn="1" showLastColumn="1" showRowStripes="1" showColumnStripes="0" name="Sheet1-style 3"/>
</table>
</file>

<file path=xl/tables/table4.xml><?xml version="1.0" encoding="utf-8"?>
<table xmlns="http://schemas.openxmlformats.org/spreadsheetml/2006/main" xmlns:mc="http://schemas.openxmlformats.org/markup-compatibility/2006" displayName="WEEK_4" id="2" insertRow="0" insertRowShift="0" name="WEEK_4" published="0" ref="A36:E44" totalsRowCount="1">
  <tableColumns count="5">
    <tableColumn id="1" name="DATE"/>
    <tableColumn id="2" name="DAYS" totalsRowLabel="TOTAL"/>
    <tableColumn id="3" name="QTY OF LEADS" totalsRowFunction="custom"/>
    <tableColumn id="4" name="ADS SPENT" totalsRowFunction="custom"/>
    <tableColumn id="5" name="COST PER LEAD" totalsRowFunction="custom"/>
  </tableColumns>
  <tableStyleInfo showFirstColumn="1" showLastColumn="1" showRowStripes="1" showColumnStripes="0" name="Sheet1-style 4"/>
</table>
</file>

<file path=xl/tables/table5.xml><?xml version="1.0" encoding="utf-8"?>
<table xmlns="http://schemas.openxmlformats.org/spreadsheetml/2006/main" xmlns:mc="http://schemas.openxmlformats.org/markup-compatibility/2006" displayName="WEEK_5" id="4" insertRow="0" insertRowShift="0" name="WEEK_5" published="0" ref="A48:E56">
  <tableColumns count="5">
    <tableColumn id="1" name="DATE"/>
    <tableColumn id="2" name="DAYS"/>
    <tableColumn id="3" name="QTY OF LEADS"/>
    <tableColumn id="4" name="ADS SPENT"/>
    <tableColumn id="5" name="COST PER LEAD"/>
  </tableColumns>
  <tableStyleInfo showFirstColumn="1" showLastColumn="1" showRowStripes="1" showColumnStripes="0" name="Sheet1-style 5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58"/>
  <sheetViews>
    <sheetView workbookViewId="0" zoomScale="50">
      <selection activeCell="D16" sqref="D16"/>
    </sheetView>
  </sheetViews>
  <sheetFormatPr defaultRowHeight="15.75" customHeight="1" defaultColWidth="12"/>
  <cols>
    <col min="1" max="1" customWidth="1" width="10.378906" style="0"/>
    <col min="2" max="2" customWidth="1" width="15.628906" style="0"/>
    <col min="3" max="3" customWidth="1" width="19.0" style="0"/>
    <col min="4" max="4" customWidth="1" width="19.25" style="0"/>
    <col min="5" max="5" customWidth="1" width="20.378906" style="0"/>
  </cols>
  <sheetData>
    <row r="1" spans="8:8" ht="15.75">
      <c r="A1" s="1"/>
      <c r="F1" s="2"/>
      <c r="G1" s="2"/>
      <c r="H1" s="2"/>
    </row>
    <row r="2" spans="8:8" ht="15.75">
      <c r="A2" s="3" t="s">
        <v>0</v>
      </c>
      <c r="B2" s="4"/>
      <c r="C2" s="4"/>
      <c r="D2" s="4"/>
      <c r="E2" s="5"/>
      <c r="F2" s="6"/>
      <c r="G2" s="6"/>
      <c r="H2" s="6"/>
    </row>
    <row r="3" spans="8:8" ht="15.75">
      <c r="A3" s="7"/>
      <c r="B3" s="8"/>
      <c r="C3" s="8"/>
      <c r="D3" s="8"/>
      <c r="E3" s="8"/>
      <c r="F3" s="9"/>
      <c r="G3" s="9"/>
      <c r="H3" s="9"/>
    </row>
    <row r="4" spans="8:8" ht="22.5" customHeight="1">
      <c r="A4" s="10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9"/>
      <c r="G4" s="9"/>
      <c r="H4" s="9"/>
    </row>
    <row r="5" spans="8:8" ht="22.5" customHeight="1">
      <c r="A5" s="12">
        <v>1.0</v>
      </c>
      <c r="B5" s="13" t="s">
        <v>6</v>
      </c>
      <c r="C5" s="14">
        <v>11.0</v>
      </c>
      <c r="D5" s="15">
        <v>60323.29</v>
      </c>
      <c r="E5" s="16">
        <f t="shared" si="0" ref="E5:E8">_xlfn.IFERROR(D5/C5,0)</f>
        <v>5483.935454545454</v>
      </c>
      <c r="F5" s="9"/>
      <c r="G5" s="9"/>
      <c r="H5" s="9"/>
    </row>
    <row r="6" spans="8:8" ht="22.5" customHeight="1">
      <c r="A6" s="12">
        <v>2.0</v>
      </c>
      <c r="B6" s="13" t="s">
        <v>7</v>
      </c>
      <c r="C6" s="17">
        <v>14.0</v>
      </c>
      <c r="D6" s="18">
        <v>74124.33</v>
      </c>
      <c r="E6" s="16">
        <f t="shared" si="0"/>
        <v>5294.595</v>
      </c>
      <c r="F6" s="9"/>
      <c r="G6" s="9"/>
      <c r="H6" s="9"/>
    </row>
    <row r="7" spans="8:8" ht="22.5" customHeight="1">
      <c r="A7" s="12">
        <v>3.0</v>
      </c>
      <c r="B7" s="13" t="s">
        <v>8</v>
      </c>
      <c r="C7" s="19">
        <v>16.0</v>
      </c>
      <c r="D7" s="20">
        <v>71990.67</v>
      </c>
      <c r="E7" s="16">
        <f t="shared" si="0"/>
        <v>4499.416875</v>
      </c>
      <c r="F7" s="9"/>
      <c r="G7" s="9"/>
      <c r="H7" s="9"/>
    </row>
    <row r="8" spans="8:8" ht="22.5" customHeight="1">
      <c r="A8" s="21"/>
      <c r="B8" s="22" t="s">
        <v>9</v>
      </c>
      <c r="C8" s="23">
        <f>SUM(C5:C7)</f>
        <v>41.0</v>
      </c>
      <c r="D8" s="24">
        <f>SUM(D5,D6)</f>
        <v>134447.62</v>
      </c>
      <c r="E8" s="25">
        <f t="shared" si="0"/>
        <v>3279.210243902439</v>
      </c>
      <c r="F8" s="9"/>
      <c r="G8" s="9"/>
      <c r="H8" s="9"/>
    </row>
    <row r="9" spans="8:8" ht="15.75">
      <c r="A9" s="9"/>
      <c r="B9" s="9"/>
      <c r="C9" s="9"/>
      <c r="D9" s="9"/>
      <c r="E9" s="9"/>
      <c r="F9" s="9"/>
      <c r="G9" s="9"/>
      <c r="H9" s="9"/>
    </row>
    <row r="10" spans="8:8" ht="15.75">
      <c r="A10" s="26" t="s">
        <v>10</v>
      </c>
      <c r="F10" s="9"/>
      <c r="G10" s="9"/>
      <c r="H10" s="9"/>
    </row>
    <row r="11" spans="8:8" ht="15.75">
      <c r="A11" s="8"/>
      <c r="B11" s="8"/>
      <c r="C11" s="8"/>
      <c r="D11" s="8"/>
      <c r="E11" s="8"/>
      <c r="F11" s="9"/>
      <c r="G11" s="9"/>
      <c r="H11" s="9"/>
    </row>
    <row r="12" spans="8:8" ht="22.5" customHeight="1">
      <c r="A12" s="27" t="s">
        <v>1</v>
      </c>
      <c r="B12" s="11" t="s">
        <v>2</v>
      </c>
      <c r="C12" s="11" t="s">
        <v>3</v>
      </c>
      <c r="D12" s="11" t="s">
        <v>4</v>
      </c>
      <c r="E12" s="11" t="s">
        <v>5</v>
      </c>
      <c r="F12" s="9"/>
      <c r="G12" s="9"/>
      <c r="H12" s="9"/>
    </row>
    <row r="13" spans="8:8" ht="22.5" customHeight="1">
      <c r="A13" s="12">
        <v>4.0</v>
      </c>
      <c r="B13" s="13" t="s">
        <v>11</v>
      </c>
      <c r="C13" s="19">
        <v>16.0</v>
      </c>
      <c r="D13" s="20">
        <v>75376.49</v>
      </c>
      <c r="E13" s="16">
        <f t="shared" si="1" ref="E13:E20">_xlfn.IFERROR(D13/C13,0)</f>
        <v>4711.030625</v>
      </c>
      <c r="F13" s="9"/>
      <c r="G13" s="9"/>
      <c r="H13" s="9"/>
    </row>
    <row r="14" spans="8:8" ht="22.5" customHeight="1">
      <c r="A14" s="12">
        <v>5.0</v>
      </c>
      <c r="B14" s="13" t="s">
        <v>12</v>
      </c>
      <c r="C14" s="19">
        <v>15.0</v>
      </c>
      <c r="D14" s="20">
        <v>111576.2</v>
      </c>
      <c r="E14" s="16">
        <f t="shared" si="1"/>
        <v>7438.413333333333</v>
      </c>
      <c r="F14" s="9"/>
      <c r="G14" s="9"/>
      <c r="H14" s="9"/>
    </row>
    <row r="15" spans="8:8" ht="22.5" customHeight="1">
      <c r="A15" s="12">
        <v>6.0</v>
      </c>
      <c r="B15" s="13" t="s">
        <v>13</v>
      </c>
      <c r="C15" s="19">
        <v>19.0</v>
      </c>
      <c r="D15" s="20">
        <v>141363.07</v>
      </c>
      <c r="E15" s="16">
        <f t="shared" si="1"/>
        <v>7440.161578947369</v>
      </c>
      <c r="F15" s="9"/>
      <c r="G15" s="9"/>
      <c r="H15" s="9"/>
    </row>
    <row r="16" spans="8:8" ht="22.5" customHeight="1">
      <c r="A16" s="12">
        <v>7.0</v>
      </c>
      <c r="B16" s="13" t="s">
        <v>14</v>
      </c>
      <c r="C16" s="19">
        <v>5.0</v>
      </c>
      <c r="D16" s="20">
        <v>35198.89</v>
      </c>
      <c r="E16" s="16">
        <f t="shared" si="1"/>
        <v>7039.778</v>
      </c>
      <c r="F16" s="9"/>
      <c r="G16" s="9"/>
      <c r="H16" s="9"/>
    </row>
    <row r="17" spans="8:8" ht="22.5" customHeight="1">
      <c r="A17" s="12">
        <v>8.0</v>
      </c>
      <c r="B17" s="13" t="s">
        <v>6</v>
      </c>
      <c r="C17" s="19"/>
      <c r="D17" s="20"/>
      <c r="E17" s="16">
        <f t="shared" si="1"/>
        <v>0.0</v>
      </c>
      <c r="F17" s="9"/>
      <c r="G17" s="9"/>
      <c r="H17" s="9"/>
    </row>
    <row r="18" spans="8:8" ht="22.5" customHeight="1">
      <c r="A18" s="12">
        <v>9.0</v>
      </c>
      <c r="B18" s="13" t="s">
        <v>7</v>
      </c>
      <c r="C18" s="19"/>
      <c r="D18" s="20"/>
      <c r="E18" s="16">
        <f t="shared" si="1"/>
        <v>0.0</v>
      </c>
      <c r="F18" s="9"/>
      <c r="G18" s="9"/>
      <c r="H18" s="9"/>
    </row>
    <row r="19" spans="8:8" ht="22.5" customHeight="1">
      <c r="A19" s="12">
        <v>10.0</v>
      </c>
      <c r="B19" s="13" t="s">
        <v>8</v>
      </c>
      <c r="C19" s="19"/>
      <c r="D19" s="20"/>
      <c r="E19" s="16">
        <f t="shared" si="1"/>
        <v>0.0</v>
      </c>
      <c r="F19" s="9"/>
      <c r="G19" s="9"/>
      <c r="H19" s="9"/>
      <c r="I19" s="28"/>
    </row>
    <row r="20" spans="8:8" ht="22.5" customHeight="1">
      <c r="A20" s="29"/>
      <c r="B20" s="30" t="s">
        <v>9</v>
      </c>
      <c r="C20" s="31">
        <f>SUM(C13:C19)</f>
        <v>55.0</v>
      </c>
      <c r="D20" s="24">
        <v>0.0</v>
      </c>
      <c r="E20" s="25">
        <f t="shared" si="1"/>
        <v>0.0</v>
      </c>
      <c r="F20" s="9"/>
      <c r="G20" s="9"/>
      <c r="H20" s="9"/>
    </row>
    <row r="21" spans="8:8" ht="15.75">
      <c r="A21" s="9"/>
      <c r="B21" s="9"/>
      <c r="C21" s="9"/>
      <c r="D21" s="9"/>
      <c r="E21" s="9"/>
      <c r="F21" s="9"/>
      <c r="G21" s="9"/>
      <c r="H21" s="9"/>
    </row>
    <row r="22" spans="8:8" ht="15.75">
      <c r="A22" s="26" t="s">
        <v>15</v>
      </c>
      <c r="F22" s="9"/>
      <c r="G22" s="9"/>
      <c r="H22" s="9"/>
    </row>
    <row r="23" spans="8:8" ht="15.75">
      <c r="A23" s="7"/>
      <c r="B23" s="8"/>
      <c r="C23" s="8"/>
      <c r="D23" s="8"/>
      <c r="E23" s="8"/>
      <c r="F23" s="9"/>
      <c r="G23" s="9"/>
      <c r="H23" s="9"/>
    </row>
    <row r="24" spans="8:8" ht="22.5" customHeight="1">
      <c r="A24" s="10" t="s">
        <v>1</v>
      </c>
      <c r="B24" s="11" t="s">
        <v>2</v>
      </c>
      <c r="C24" s="11" t="s">
        <v>3</v>
      </c>
      <c r="D24" s="11" t="s">
        <v>4</v>
      </c>
      <c r="E24" s="11" t="s">
        <v>5</v>
      </c>
      <c r="F24" s="9"/>
      <c r="G24" s="9"/>
      <c r="H24" s="9"/>
    </row>
    <row r="25" spans="8:8" ht="22.5" customHeight="1">
      <c r="A25" s="12">
        <v>11.0</v>
      </c>
      <c r="B25" s="13" t="s">
        <v>11</v>
      </c>
      <c r="C25" s="19"/>
      <c r="D25" s="20"/>
      <c r="E25" s="16">
        <f t="shared" si="2" ref="E25:E32">_xlfn.IFERROR(D25/C25,0)</f>
        <v>0.0</v>
      </c>
      <c r="F25" s="9"/>
      <c r="G25" s="9"/>
      <c r="H25" s="9"/>
    </row>
    <row r="26" spans="8:8" ht="22.5" customHeight="1">
      <c r="A26" s="12">
        <v>12.0</v>
      </c>
      <c r="B26" s="13" t="s">
        <v>12</v>
      </c>
      <c r="C26" s="19"/>
      <c r="D26" s="20"/>
      <c r="E26" s="16">
        <f t="shared" si="2"/>
        <v>0.0</v>
      </c>
      <c r="F26" s="9"/>
      <c r="G26" s="9"/>
      <c r="H26" s="9"/>
    </row>
    <row r="27" spans="8:8" ht="22.5" customHeight="1">
      <c r="A27" s="12">
        <v>13.0</v>
      </c>
      <c r="B27" s="13" t="s">
        <v>13</v>
      </c>
      <c r="C27" s="19"/>
      <c r="D27" s="20"/>
      <c r="E27" s="16">
        <f t="shared" si="2"/>
        <v>0.0</v>
      </c>
      <c r="F27" s="9"/>
      <c r="G27" s="9"/>
      <c r="H27" s="9"/>
    </row>
    <row r="28" spans="8:8" ht="22.5" customHeight="1">
      <c r="A28" s="12">
        <v>14.0</v>
      </c>
      <c r="B28" s="13" t="s">
        <v>14</v>
      </c>
      <c r="C28" s="19"/>
      <c r="D28" s="20"/>
      <c r="E28" s="16">
        <f t="shared" si="2"/>
        <v>0.0</v>
      </c>
      <c r="F28" s="9"/>
      <c r="G28" s="9"/>
      <c r="H28" s="9"/>
    </row>
    <row r="29" spans="8:8" ht="22.5" customHeight="1">
      <c r="A29" s="12">
        <v>15.0</v>
      </c>
      <c r="B29" s="13" t="s">
        <v>6</v>
      </c>
      <c r="C29" s="19"/>
      <c r="D29" s="20"/>
      <c r="E29" s="16">
        <f t="shared" si="2"/>
        <v>0.0</v>
      </c>
      <c r="F29" s="9"/>
      <c r="G29" s="9"/>
      <c r="H29" s="9"/>
    </row>
    <row r="30" spans="8:8" ht="22.5" customHeight="1">
      <c r="A30" s="12">
        <v>16.0</v>
      </c>
      <c r="B30" s="13" t="s">
        <v>7</v>
      </c>
      <c r="C30" s="19"/>
      <c r="D30" s="20"/>
      <c r="E30" s="16">
        <f t="shared" si="2"/>
        <v>0.0</v>
      </c>
      <c r="F30" s="9"/>
      <c r="G30" s="9"/>
      <c r="H30" s="9"/>
    </row>
    <row r="31" spans="8:8" ht="22.5" customHeight="1">
      <c r="A31" s="12">
        <v>17.0</v>
      </c>
      <c r="B31" s="13" t="s">
        <v>8</v>
      </c>
      <c r="C31" s="19"/>
      <c r="D31" s="20"/>
      <c r="E31" s="32">
        <f t="shared" si="2"/>
        <v>0.0</v>
      </c>
      <c r="F31" s="9"/>
      <c r="G31" s="9"/>
      <c r="H31" s="9"/>
    </row>
    <row r="32" spans="8:8" ht="22.5" customHeight="1">
      <c r="A32" s="29"/>
      <c r="B32" s="30" t="s">
        <v>9</v>
      </c>
      <c r="C32" s="31">
        <f>SUM(C25:C31)</f>
        <v>0.0</v>
      </c>
      <c r="D32" s="24">
        <v>0.0</v>
      </c>
      <c r="E32" s="33">
        <f t="shared" si="2"/>
        <v>0.0</v>
      </c>
      <c r="F32" s="9"/>
      <c r="G32" s="9"/>
      <c r="H32" s="9"/>
    </row>
    <row r="33" spans="8:8" ht="15.75">
      <c r="A33" s="9"/>
      <c r="B33" s="9"/>
      <c r="C33" s="9"/>
      <c r="D33" s="9"/>
      <c r="E33" s="9"/>
      <c r="F33" s="9"/>
      <c r="G33" s="9"/>
      <c r="H33" s="9"/>
    </row>
    <row r="34" spans="8:8" ht="15.75">
      <c r="A34" s="26" t="s">
        <v>16</v>
      </c>
      <c r="F34" s="9"/>
      <c r="G34" s="9"/>
      <c r="H34" s="9"/>
    </row>
    <row r="35" spans="8:8" ht="15.75">
      <c r="A35" s="8"/>
      <c r="B35" s="8"/>
      <c r="C35" s="8"/>
      <c r="D35" s="8"/>
      <c r="E35" s="8"/>
      <c r="F35" s="9"/>
      <c r="G35" s="9"/>
      <c r="H35" s="9"/>
    </row>
    <row r="36" spans="8:8" ht="22.5" customHeight="1">
      <c r="A36" s="27" t="s">
        <v>1</v>
      </c>
      <c r="B36" s="11" t="s">
        <v>2</v>
      </c>
      <c r="C36" s="11" t="s">
        <v>3</v>
      </c>
      <c r="D36" s="11" t="s">
        <v>4</v>
      </c>
      <c r="E36" s="11" t="s">
        <v>5</v>
      </c>
      <c r="F36" s="9"/>
      <c r="G36" s="9"/>
      <c r="H36" s="9"/>
    </row>
    <row r="37" spans="8:8" ht="22.5" customHeight="1">
      <c r="A37" s="12">
        <v>18.0</v>
      </c>
      <c r="B37" s="13" t="s">
        <v>11</v>
      </c>
      <c r="C37" s="19"/>
      <c r="D37" s="18"/>
      <c r="E37" s="34">
        <f t="shared" si="3" ref="E37:E44">_xlfn.IFERROR(D37/C37,0)</f>
        <v>0.0</v>
      </c>
      <c r="F37" s="9"/>
      <c r="G37" s="9"/>
      <c r="H37" s="9"/>
    </row>
    <row r="38" spans="8:8" ht="22.5" customHeight="1">
      <c r="A38" s="12">
        <v>19.0</v>
      </c>
      <c r="B38" s="13" t="s">
        <v>12</v>
      </c>
      <c r="C38" s="35"/>
      <c r="D38" s="20"/>
      <c r="E38" s="16">
        <f t="shared" si="3"/>
        <v>0.0</v>
      </c>
      <c r="F38" s="9"/>
      <c r="G38" s="9"/>
      <c r="H38" s="9"/>
    </row>
    <row r="39" spans="8:8" ht="22.5" customHeight="1">
      <c r="A39" s="12">
        <v>20.0</v>
      </c>
      <c r="B39" s="13" t="s">
        <v>13</v>
      </c>
      <c r="C39" s="19"/>
      <c r="D39" s="20"/>
      <c r="E39" s="36">
        <f t="shared" si="3"/>
        <v>0.0</v>
      </c>
      <c r="F39" s="9"/>
      <c r="G39" s="9"/>
      <c r="H39" s="9"/>
    </row>
    <row r="40" spans="8:8" ht="22.5" customHeight="1">
      <c r="A40" s="12">
        <v>21.0</v>
      </c>
      <c r="B40" s="13" t="s">
        <v>14</v>
      </c>
      <c r="C40" s="35"/>
      <c r="D40" s="20"/>
      <c r="E40" s="16">
        <f t="shared" si="3"/>
        <v>0.0</v>
      </c>
      <c r="F40" s="9"/>
      <c r="G40" s="9"/>
      <c r="H40" s="9"/>
    </row>
    <row r="41" spans="8:8" ht="22.5" customHeight="1">
      <c r="A41" s="12">
        <v>22.0</v>
      </c>
      <c r="B41" s="13" t="s">
        <v>6</v>
      </c>
      <c r="C41" s="37"/>
      <c r="D41" s="18"/>
      <c r="E41" s="36">
        <f t="shared" si="3"/>
        <v>0.0</v>
      </c>
      <c r="F41" s="9"/>
      <c r="G41" s="9"/>
      <c r="H41" s="9"/>
    </row>
    <row r="42" spans="8:8" ht="22.5" customHeight="1">
      <c r="A42" s="12">
        <v>23.0</v>
      </c>
      <c r="B42" s="13" t="s">
        <v>7</v>
      </c>
      <c r="C42" s="35"/>
      <c r="D42" s="20"/>
      <c r="E42" s="16">
        <f t="shared" si="3"/>
        <v>0.0</v>
      </c>
      <c r="F42" s="9"/>
      <c r="G42" s="9"/>
      <c r="H42" s="9"/>
    </row>
    <row r="43" spans="8:8" ht="22.5" customHeight="1">
      <c r="A43" s="12">
        <v>24.0</v>
      </c>
      <c r="B43" s="13" t="s">
        <v>8</v>
      </c>
      <c r="C43" s="19"/>
      <c r="D43" s="20"/>
      <c r="E43" s="32">
        <f t="shared" si="3"/>
        <v>0.0</v>
      </c>
      <c r="F43" s="9"/>
      <c r="G43" s="9"/>
      <c r="H43" s="9"/>
    </row>
    <row r="44" spans="8:8" ht="22.5" customHeight="1">
      <c r="A44" s="29"/>
      <c r="B44" s="30" t="s">
        <v>9</v>
      </c>
      <c r="C44" s="38">
        <f>SUM(C37:C43)</f>
        <v>0.0</v>
      </c>
      <c r="D44" s="39">
        <v>0.0</v>
      </c>
      <c r="E44" s="40">
        <f t="shared" si="3"/>
        <v>0.0</v>
      </c>
      <c r="F44" s="9"/>
      <c r="G44" s="9"/>
      <c r="H44" s="9"/>
    </row>
    <row r="45" spans="8:8" ht="15.75">
      <c r="A45" s="9"/>
      <c r="B45" s="9"/>
      <c r="C45" s="9"/>
      <c r="D45" s="9"/>
      <c r="E45" s="9"/>
      <c r="F45" s="9"/>
      <c r="G45" s="9"/>
      <c r="H45" s="9"/>
    </row>
    <row r="46" spans="8:8" ht="15.75">
      <c r="A46" s="26" t="s">
        <v>17</v>
      </c>
      <c r="F46" s="9"/>
      <c r="G46" s="9"/>
      <c r="H46" s="9"/>
    </row>
    <row r="47" spans="8:8" ht="15.75">
      <c r="A47" s="7"/>
      <c r="B47" s="8"/>
      <c r="C47" s="8"/>
      <c r="D47" s="8"/>
      <c r="E47" s="8"/>
      <c r="F47" s="9"/>
      <c r="G47" s="9"/>
      <c r="H47" s="9"/>
    </row>
    <row r="48" spans="8:8" ht="22.5" customHeight="1">
      <c r="A48" s="10" t="s">
        <v>1</v>
      </c>
      <c r="B48" s="11" t="s">
        <v>2</v>
      </c>
      <c r="C48" s="11" t="s">
        <v>3</v>
      </c>
      <c r="D48" s="11" t="s">
        <v>4</v>
      </c>
      <c r="E48" s="11" t="s">
        <v>5</v>
      </c>
      <c r="F48" s="9"/>
      <c r="G48" s="9"/>
      <c r="H48" s="9"/>
    </row>
    <row r="49" spans="8:8" ht="22.5" customHeight="1">
      <c r="A49" s="12">
        <v>25.0</v>
      </c>
      <c r="B49" s="13" t="s">
        <v>11</v>
      </c>
      <c r="C49" s="19"/>
      <c r="D49" s="41"/>
      <c r="E49" s="16">
        <f t="shared" si="4" ref="E49:E56">_xlfn.IFERROR(D49/C49,0)</f>
        <v>0.0</v>
      </c>
      <c r="F49" s="9"/>
      <c r="G49" s="9"/>
      <c r="H49" s="9"/>
    </row>
    <row r="50" spans="8:8" ht="22.5" customHeight="1">
      <c r="A50" s="12">
        <v>26.0</v>
      </c>
      <c r="B50" s="13" t="s">
        <v>12</v>
      </c>
      <c r="C50" s="19"/>
      <c r="D50" s="41"/>
      <c r="E50" s="16">
        <f t="shared" si="4"/>
        <v>0.0</v>
      </c>
      <c r="F50" s="9"/>
      <c r="G50" s="9"/>
      <c r="H50" s="9"/>
    </row>
    <row r="51" spans="8:8" ht="22.5" customHeight="1">
      <c r="A51" s="12">
        <v>27.0</v>
      </c>
      <c r="B51" s="13" t="s">
        <v>13</v>
      </c>
      <c r="C51" s="19"/>
      <c r="D51" s="41"/>
      <c r="E51" s="16">
        <f t="shared" si="4"/>
        <v>0.0</v>
      </c>
      <c r="F51" s="9"/>
      <c r="G51" s="9"/>
      <c r="H51" s="9"/>
    </row>
    <row r="52" spans="8:8" ht="22.5" customHeight="1">
      <c r="A52" s="12">
        <v>28.0</v>
      </c>
      <c r="B52" s="13" t="s">
        <v>14</v>
      </c>
      <c r="C52" s="19"/>
      <c r="D52" s="41"/>
      <c r="E52" s="16">
        <f t="shared" si="4"/>
        <v>0.0</v>
      </c>
      <c r="F52" s="9"/>
      <c r="G52" s="9"/>
      <c r="H52" s="9"/>
    </row>
    <row r="53" spans="8:8" ht="22.5" customHeight="1">
      <c r="A53" s="12">
        <v>29.0</v>
      </c>
      <c r="B53" s="13" t="s">
        <v>6</v>
      </c>
      <c r="C53" s="42"/>
      <c r="D53" s="43"/>
      <c r="E53" s="16">
        <f t="shared" si="4"/>
        <v>0.0</v>
      </c>
      <c r="F53" s="9"/>
      <c r="G53" s="9"/>
      <c r="H53" s="9"/>
    </row>
    <row r="54" spans="8:8" ht="22.5" customHeight="1">
      <c r="A54" s="12">
        <v>30.0</v>
      </c>
      <c r="B54" s="13" t="s">
        <v>7</v>
      </c>
      <c r="C54" s="42"/>
      <c r="D54" s="43"/>
      <c r="E54" s="16">
        <f t="shared" si="4"/>
        <v>0.0</v>
      </c>
      <c r="F54" s="9"/>
      <c r="G54" s="9"/>
      <c r="H54" s="9"/>
    </row>
    <row r="55" spans="8:8" ht="22.5" customHeight="1">
      <c r="A55" s="12">
        <v>31.0</v>
      </c>
      <c r="B55" s="13" t="s">
        <v>8</v>
      </c>
      <c r="C55" s="42"/>
      <c r="D55" s="43"/>
      <c r="E55" s="16">
        <f t="shared" si="4"/>
        <v>0.0</v>
      </c>
      <c r="F55" s="9"/>
      <c r="G55" s="9"/>
      <c r="H55" s="9"/>
    </row>
    <row r="56" spans="8:8" ht="22.5" customHeight="1">
      <c r="A56" s="29"/>
      <c r="B56" s="29" t="s">
        <v>9</v>
      </c>
      <c r="C56" s="17">
        <f>SUM(C49:C55)</f>
        <v>0.0</v>
      </c>
      <c r="D56" s="44"/>
      <c r="E56" s="16">
        <f t="shared" si="4"/>
        <v>0.0</v>
      </c>
      <c r="F56" s="9"/>
      <c r="G56" s="9"/>
      <c r="H56" s="9"/>
    </row>
    <row r="57" spans="8:8" ht="15.75">
      <c r="A57" s="9"/>
      <c r="B57" s="9"/>
      <c r="C57" s="9"/>
      <c r="D57" s="9"/>
      <c r="E57" s="9"/>
      <c r="F57" s="9"/>
      <c r="G57" s="9"/>
      <c r="H57" s="9"/>
    </row>
    <row r="58" spans="8:8" ht="15.75">
      <c r="A58" s="45" t="s">
        <v>18</v>
      </c>
      <c r="B58" s="46"/>
      <c r="C58" s="47">
        <f t="shared" si="5" ref="C58:D58">SUM(C56+C44+C32+C20+C8)</f>
        <v>96.0</v>
      </c>
      <c r="D58" s="48">
        <f t="shared" si="5"/>
        <v>134447.62</v>
      </c>
      <c r="E58" s="49">
        <f>_xlfn.IFERROR(D58/C58,0)</f>
        <v>1400.4960416666665</v>
      </c>
      <c r="F58" s="9"/>
      <c r="G58" s="9"/>
      <c r="H58" s="9"/>
    </row>
  </sheetData>
  <mergeCells count="7">
    <mergeCell ref="A1:E1"/>
    <mergeCell ref="A2:E2"/>
    <mergeCell ref="A10:E10"/>
    <mergeCell ref="A22:E22"/>
    <mergeCell ref="A34:E34"/>
    <mergeCell ref="A46:E46"/>
    <mergeCell ref="A58:B58"/>
  </mergeCells>
  <dataValidations count="4">
    <dataValidation allowBlank="1" type="custom" showDropDown="1" errorStyle="stop" sqref="D5:D7">
      <formula1>AND(ISNUMBER(D5),(NOT(OR(NOT(ISERROR(DATEVALUE(D5))),AND(ISNUMBER(D5),LEFT(CELL("format",D5))="D")))))</formula1>
    </dataValidation>
    <dataValidation allowBlank="1" type="custom" showDropDown="1" errorStyle="stop" sqref="D13:D19">
      <formula1>AND(ISNUMBER(D13),(NOT(OR(NOT(ISERROR(DATEVALUE(D13))),AND(ISNUMBER(D13),LEFT(CELL("format",D13))="D")))))</formula1>
    </dataValidation>
    <dataValidation allowBlank="1" type="custom" showDropDown="1" errorStyle="stop" sqref="D25:D31">
      <formula1>AND(ISNUMBER(D25),(NOT(OR(NOT(ISERROR(DATEVALUE(D25))),AND(ISNUMBER(D25),LEFT(CELL("format",D25))="D")))))</formula1>
    </dataValidation>
    <dataValidation allowBlank="1" type="custom" showDropDown="1" errorStyle="stop" sqref="D37:D43">
      <formula1>AND(ISNUMBER(D37),(NOT(OR(NOT(ISERROR(DATEVALUE(D37))),AND(ISNUMBER(D37),LEFT(CELL("format",D37))="D")))))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2404ARN45A</dc:creator>
  <dcterms:created xsi:type="dcterms:W3CDTF">2026-10-01T23:17:59Z</dcterms:created>
  <dcterms:modified xsi:type="dcterms:W3CDTF">2026-10-08T05:15:52Z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a7a556c6124e43d19831236475de27b5</vt:lpwstr>
  </property>
</Properties>
</file>