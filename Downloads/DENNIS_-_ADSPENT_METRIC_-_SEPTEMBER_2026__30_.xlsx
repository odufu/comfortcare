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810" windowHeight="7180" tabRatio="500"/>
  </bookViews>
  <sheets>
    <sheet name="GRAZER TEA" sheetId="1" r:id="rId1"/>
    <sheet name="RESPIRA TE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<sst xmlns="http://schemas.openxmlformats.org/spreadsheetml/2006/main" count="144" uniqueCount="29">
  <si>
    <t>GRAZER HERBAL TEA - SEPTEMBER 2026</t>
  </si>
  <si>
    <t>FIRST WEEK OF THE MONTH (SEPTEMBER)</t>
  </si>
  <si>
    <t>DAYS</t>
  </si>
  <si>
    <t>QTY OF LEADS</t>
  </si>
  <si>
    <t>ADS SPENT</t>
  </si>
  <si>
    <t>COST PER LEAD</t>
  </si>
  <si>
    <t>SUNDAY</t>
  </si>
  <si>
    <t>MONDAY</t>
  </si>
  <si>
    <t>TUESDAY</t>
  </si>
  <si>
    <t>WEDNESDAY</t>
  </si>
  <si>
    <t>THURSDAY</t>
  </si>
  <si>
    <t>FRIDAY</t>
  </si>
  <si>
    <t>SATURDAY</t>
  </si>
  <si>
    <t>WEEK 1 TOTAL</t>
  </si>
  <si>
    <t>CUMULATIVE TOTAL (WEEK 1-1)</t>
  </si>
  <si>
    <t>SECOND WEEK OF THE MONTH (SEPTEMBER)</t>
  </si>
  <si>
    <t>WEEK 2 TOTAL</t>
  </si>
  <si>
    <t>CUMULATIVE TOTAL (WEEK 1-2)</t>
  </si>
  <si>
    <t>THIRD WEEK OF THE MONTH (SEPTEMBER)</t>
  </si>
  <si>
    <t>WEEK 3 TOTAL</t>
  </si>
  <si>
    <t>CUMULATIVE TOTAL (WEEK 1-3)</t>
  </si>
  <si>
    <t>FOURTH WEEK OF THE MONTH (SEPTEMBER)</t>
  </si>
  <si>
    <t>WEEK 4 TOTAL</t>
  </si>
  <si>
    <t>CUMULATIVE TOTAL (WEEK 1-4)</t>
  </si>
  <si>
    <t>FIFTH WEEK OF THE MONTH (SEPTEMBER)</t>
  </si>
  <si>
    <t>WEEK 5 TOTAL</t>
  </si>
  <si>
    <t>CUMULATIVE TOTAL (WEEK 1-5)</t>
  </si>
  <si>
    <t>GRAND TOTAL (SEPTEMBER)</t>
  </si>
  <si>
    <t>RESPIRA TEA - SEPTEMBER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</si>
</sst>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_ "/>
  </numFmts>
  <fonts count="28">
    <font>
      <sz val="11"/>
      <color theme="1"/>
      <name val="Calibri"/>
      <charset val="1"/>
    </font>
    <font>
      <b/>
      <sz val="20"/>
      <color rgb="FF7030A0"/>
      <name val="Aptos Narrow"/>
      <charset val="1"/>
    </font>
    <font>
      <b/>
      <sz val="13"/>
      <color rgb="FF000000"/>
      <name val="Aptos Narrow"/>
      <charset val="1"/>
    </font>
    <font>
      <b/>
      <sz val="11"/>
      <name val="Aptos Narrow"/>
      <charset val="1"/>
    </font>
    <font>
      <b/>
      <sz val="12"/>
      <color rgb="FF7030A0"/>
      <name val="Aptos Narrow"/>
      <charset val="1"/>
    </font>
    <font>
      <b/>
      <sz val="12"/>
      <color rgb="FF1155CC"/>
      <name val="Aptos Narrow"/>
      <charset val="1"/>
    </font>
    <font>
      <b/>
      <sz val="14"/>
      <color rgb="FFFFFFFF"/>
      <name val="Aptos Narrow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FEFEF"/>
        <bgColor rgb="FFDDEBF7"/>
      </patternFill>
    </fill>
    <fill>
      <patternFill patternType="solid">
        <fgColor rgb="FFD9D2E9"/>
        <bgColor rgb="FFDDEBF7"/>
      </patternFill>
    </fill>
    <fill>
      <patternFill patternType="solid">
        <fgColor rgb="FFDDEBF7"/>
        <bgColor rgb="FFEFEFEF"/>
      </patternFill>
    </fill>
    <fill>
      <patternFill patternType="solid">
        <fgColor rgb="FF7030A0"/>
        <bgColor rgb="FF99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4" fontId="5" fillId="4" borderId="1" xfId="0" applyNumberFormat="1" applyFont="1" applyFill="1" applyBorder="1"/>
    <xf numFmtId="0" fontId="6" fillId="5" borderId="1" xfId="0" applyFont="1" applyFill="1" applyBorder="1"/>
    <xf numFmtId="3" fontId="6" fillId="5" borderId="1" xfId="0" applyNumberFormat="1" applyFont="1" applyFill="1" applyBorder="1"/>
    <xf numFmtId="4" fontId="6" fillId="5" borderId="1" xfId="0" applyNumberFormat="1" applyFont="1" applyFill="1" applyBorder="1"/>
    <xf numFmtId="176" fontId="3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7030A0"/>
      <rgbColor rgb="00EFEFEF"/>
      <rgbColor rgb="00DDEBF7"/>
      <rgbColor rgb="00660066"/>
      <rgbColor rgb="00FF8080"/>
      <rgbColor rgb="001155CC"/>
      <rgbColor rgb="00D9D2E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pane ySplit="2" topLeftCell="A47" activePane="bottomLeft" state="frozen"/>
      <selection/>
      <selection pane="bottomLeft" activeCell="D55" sqref="D55"/>
    </sheetView>
  </sheetViews>
  <sheetFormatPr defaultColWidth="8.69090909090909" defaultRowHeight="14.5" outlineLevelCol="3"/>
  <cols>
    <col min="1" max="1" width="20" customWidth="1"/>
    <col min="2" max="2" width="16" customWidth="1"/>
    <col min="3" max="3" width="17" customWidth="1"/>
    <col min="4" max="4" width="21" customWidth="1"/>
  </cols>
  <sheetData>
    <row r="1" ht="24.75" customHeight="1" spans="1:4">
      <c r="A1" s="1" t="s">
        <v>0</v>
      </c>
      <c r="B1" s="1"/>
      <c r="C1" s="1"/>
      <c r="D1" s="1"/>
    </row>
    <row r="3" ht="16.5" customHeight="1" spans="1:4">
      <c r="A3" s="2" t="s">
        <v>1</v>
      </c>
      <c r="B3" s="2"/>
      <c r="C3" s="2"/>
      <c r="D3" s="2"/>
    </row>
    <row r="4" spans="1:4">
      <c r="A4" s="3" t="s">
        <v>2</v>
      </c>
      <c r="B4" s="4" t="s">
        <v>3</v>
      </c>
      <c r="C4" s="5" t="s">
        <v>4</v>
      </c>
      <c r="D4" s="5" t="s">
        <v>5</v>
      </c>
    </row>
    <row r="5" spans="1:4">
      <c r="A5" s="6" t="s">
        <v>6</v>
      </c>
      <c r="B5" s="6"/>
      <c r="C5" s="6"/>
      <c r="D5" s="7">
        <f t="shared" ref="D5:D12" si="0">IFERROR(C5/B5,0)</f>
        <v>0</v>
      </c>
    </row>
    <row r="6" spans="1:4">
      <c r="A6" s="6" t="s">
        <v>7</v>
      </c>
      <c r="B6" s="6"/>
      <c r="C6" s="6"/>
      <c r="D6" s="7">
        <f t="shared" si="0"/>
        <v>0</v>
      </c>
    </row>
    <row r="7" spans="1:4">
      <c r="A7" s="6" t="s">
        <v>8</v>
      </c>
      <c r="B7" s="6">
        <v>42</v>
      </c>
      <c r="C7" s="6">
        <v>160445.83</v>
      </c>
      <c r="D7" s="7">
        <f t="shared" si="0"/>
        <v>3820.13880952381</v>
      </c>
    </row>
    <row r="8" spans="1:4">
      <c r="A8" s="6" t="s">
        <v>9</v>
      </c>
      <c r="B8" s="6">
        <v>58</v>
      </c>
      <c r="C8" s="6">
        <v>237460.47</v>
      </c>
      <c r="D8" s="7">
        <f t="shared" si="0"/>
        <v>4094.14603448276</v>
      </c>
    </row>
    <row r="9" spans="1:4">
      <c r="A9" s="6" t="s">
        <v>10</v>
      </c>
      <c r="B9" s="6">
        <v>58</v>
      </c>
      <c r="C9" s="6">
        <v>251028.47</v>
      </c>
      <c r="D9" s="7">
        <f t="shared" si="0"/>
        <v>4328.07706896552</v>
      </c>
    </row>
    <row r="10" spans="1:4">
      <c r="A10" s="6" t="s">
        <v>11</v>
      </c>
      <c r="B10" s="6">
        <v>52</v>
      </c>
      <c r="C10" s="6">
        <v>240859.18</v>
      </c>
      <c r="D10" s="7">
        <f t="shared" si="0"/>
        <v>4631.90730769231</v>
      </c>
    </row>
    <row r="11" spans="1:4">
      <c r="A11" s="6" t="s">
        <v>12</v>
      </c>
      <c r="B11" s="6">
        <v>63</v>
      </c>
      <c r="C11" s="6">
        <v>314965.45</v>
      </c>
      <c r="D11" s="7">
        <f t="shared" si="0"/>
        <v>4999.45158730159</v>
      </c>
    </row>
    <row r="12" ht="15" customHeight="1" spans="1:4">
      <c r="A12" s="8" t="s">
        <v>13</v>
      </c>
      <c r="B12" s="9">
        <f>SUM(B5:B11)</f>
        <v>273</v>
      </c>
      <c r="C12" s="10">
        <f>SUM(C5:C11)</f>
        <v>1204759.4</v>
      </c>
      <c r="D12" s="10">
        <f t="shared" si="0"/>
        <v>4413.03809523809</v>
      </c>
    </row>
    <row r="13" ht="15" customHeight="1" spans="1:4">
      <c r="A13" s="11" t="s">
        <v>14</v>
      </c>
      <c r="B13" s="12">
        <f>IF(COUNT(B5:B11)=0,"",B12)</f>
        <v>273</v>
      </c>
      <c r="C13" s="13">
        <f>IF(COUNT(B5:B11)=0,"",C12)</f>
        <v>1204759.4</v>
      </c>
      <c r="D13" s="13">
        <f>IF(B13="","",IFERROR(C13/B13,0))</f>
        <v>4413.03809523809</v>
      </c>
    </row>
    <row r="15" ht="16.5" customHeight="1" spans="1:4">
      <c r="A15" s="2" t="s">
        <v>15</v>
      </c>
      <c r="B15" s="2"/>
      <c r="C15" s="2"/>
      <c r="D15" s="2"/>
    </row>
    <row r="16" spans="1:4">
      <c r="A16" s="3" t="s">
        <v>2</v>
      </c>
      <c r="B16" s="4" t="s">
        <v>3</v>
      </c>
      <c r="C16" s="5" t="s">
        <v>4</v>
      </c>
      <c r="D16" s="5" t="s">
        <v>5</v>
      </c>
    </row>
    <row r="17" spans="1:4">
      <c r="A17" s="6" t="s">
        <v>6</v>
      </c>
      <c r="B17" s="6">
        <v>88</v>
      </c>
      <c r="C17" s="6">
        <v>393956.46</v>
      </c>
      <c r="D17" s="7">
        <f t="shared" ref="D17:D24" si="1">IFERROR(C17/B17,0)</f>
        <v>4476.77795454546</v>
      </c>
    </row>
    <row r="18" spans="1:4">
      <c r="A18" s="6" t="s">
        <v>7</v>
      </c>
      <c r="B18" s="6">
        <v>60</v>
      </c>
      <c r="C18" s="6">
        <v>276549.19</v>
      </c>
      <c r="D18" s="7">
        <f t="shared" si="1"/>
        <v>4609.15316666667</v>
      </c>
    </row>
    <row r="19" spans="1:4">
      <c r="A19" s="6" t="s">
        <v>8</v>
      </c>
      <c r="B19" s="6">
        <v>50</v>
      </c>
      <c r="C19" s="6">
        <v>291522.68</v>
      </c>
      <c r="D19" s="7">
        <f t="shared" si="1"/>
        <v>5830.4536</v>
      </c>
    </row>
    <row r="20" spans="1:4">
      <c r="A20" s="6" t="s">
        <v>9</v>
      </c>
      <c r="B20" s="6">
        <v>55</v>
      </c>
      <c r="C20" s="6">
        <v>312499.48</v>
      </c>
      <c r="D20" s="7">
        <f t="shared" si="1"/>
        <v>5681.80872727273</v>
      </c>
    </row>
    <row r="21" spans="1:4">
      <c r="A21" s="6" t="s">
        <v>10</v>
      </c>
      <c r="B21" s="6">
        <v>61</v>
      </c>
      <c r="C21" s="6">
        <v>309172.56</v>
      </c>
      <c r="D21" s="7">
        <f t="shared" si="1"/>
        <v>5068.40262295082</v>
      </c>
    </row>
    <row r="22" spans="1:4">
      <c r="A22" s="6" t="s">
        <v>11</v>
      </c>
      <c r="B22" s="6">
        <v>52</v>
      </c>
      <c r="C22" s="6">
        <v>340958.03</v>
      </c>
      <c r="D22" s="7">
        <f t="shared" si="1"/>
        <v>6556.88519230769</v>
      </c>
    </row>
    <row r="23" spans="1:4">
      <c r="A23" s="6" t="s">
        <v>12</v>
      </c>
      <c r="B23" s="6">
        <v>47</v>
      </c>
      <c r="C23" s="6">
        <v>329631.14</v>
      </c>
      <c r="D23" s="7">
        <f t="shared" si="1"/>
        <v>7013.4285106383</v>
      </c>
    </row>
    <row r="24" ht="15" customHeight="1" spans="1:4">
      <c r="A24" s="8" t="s">
        <v>16</v>
      </c>
      <c r="B24" s="9">
        <f>SUM(B17:B23)</f>
        <v>413</v>
      </c>
      <c r="C24" s="10">
        <f>SUM(C17:C23)</f>
        <v>2254289.54</v>
      </c>
      <c r="D24" s="10">
        <f t="shared" si="1"/>
        <v>5458.32818401937</v>
      </c>
    </row>
    <row r="25" ht="15" customHeight="1" spans="1:4">
      <c r="A25" s="11" t="s">
        <v>17</v>
      </c>
      <c r="B25" s="12">
        <f>IF(COUNT(B17:B23)=0,"",B12+B24)</f>
        <v>686</v>
      </c>
      <c r="C25" s="13">
        <f>IF(COUNT(B17:B23)=0,"",C12+C24)</f>
        <v>3459048.94</v>
      </c>
      <c r="D25" s="13">
        <f>IF(B25="","",IFERROR(C25/B25,0))</f>
        <v>5042.34539358601</v>
      </c>
    </row>
    <row r="27" ht="16.5" customHeight="1" spans="1:4">
      <c r="A27" s="2" t="s">
        <v>18</v>
      </c>
      <c r="B27" s="2"/>
      <c r="C27" s="2"/>
      <c r="D27" s="2"/>
    </row>
    <row r="28" spans="1:4">
      <c r="A28" s="3" t="s">
        <v>2</v>
      </c>
      <c r="B28" s="4" t="s">
        <v>3</v>
      </c>
      <c r="C28" s="5" t="s">
        <v>4</v>
      </c>
      <c r="D28" s="5" t="s">
        <v>5</v>
      </c>
    </row>
    <row r="29" spans="1:4">
      <c r="A29" s="6" t="s">
        <v>6</v>
      </c>
      <c r="B29" s="6">
        <v>44</v>
      </c>
      <c r="C29" s="6">
        <v>306678.06</v>
      </c>
      <c r="D29" s="7">
        <f t="shared" ref="D29:D36" si="2">IFERROR(C29/B29,0)</f>
        <v>6969.95590909091</v>
      </c>
    </row>
    <row r="30" spans="1:4">
      <c r="A30" s="6" t="s">
        <v>7</v>
      </c>
      <c r="B30" s="6">
        <v>48</v>
      </c>
      <c r="C30" s="6">
        <v>275776.45</v>
      </c>
      <c r="D30" s="7">
        <f t="shared" si="2"/>
        <v>5745.34270833333</v>
      </c>
    </row>
    <row r="31" spans="1:4">
      <c r="A31" s="6" t="s">
        <v>8</v>
      </c>
      <c r="B31" s="6">
        <v>48</v>
      </c>
      <c r="C31" s="6">
        <v>287650.81</v>
      </c>
      <c r="D31" s="7">
        <f t="shared" si="2"/>
        <v>5992.72520833333</v>
      </c>
    </row>
    <row r="32" spans="1:4">
      <c r="A32" s="6" t="s">
        <v>9</v>
      </c>
      <c r="B32" s="6">
        <v>54</v>
      </c>
      <c r="C32" s="6">
        <v>234456.21</v>
      </c>
      <c r="D32" s="7">
        <f t="shared" si="2"/>
        <v>4341.78166666667</v>
      </c>
    </row>
    <row r="33" spans="1:4">
      <c r="A33" s="6" t="s">
        <v>10</v>
      </c>
      <c r="B33" s="6">
        <v>64</v>
      </c>
      <c r="C33" s="6">
        <v>260989.97</v>
      </c>
      <c r="D33" s="7">
        <f t="shared" si="2"/>
        <v>4077.96828125</v>
      </c>
    </row>
    <row r="34" spans="1:4">
      <c r="A34" s="6" t="s">
        <v>11</v>
      </c>
      <c r="B34" s="6">
        <v>46</v>
      </c>
      <c r="C34" s="6">
        <v>263563.84</v>
      </c>
      <c r="D34" s="7">
        <f t="shared" si="2"/>
        <v>5729.64869565217</v>
      </c>
    </row>
    <row r="35" spans="1:4">
      <c r="A35" s="6" t="s">
        <v>12</v>
      </c>
      <c r="B35" s="6">
        <v>46</v>
      </c>
      <c r="C35" s="17">
        <v>217689.4</v>
      </c>
      <c r="D35" s="7">
        <f t="shared" si="2"/>
        <v>4732.37826086956</v>
      </c>
    </row>
    <row r="36" ht="15" customHeight="1" spans="1:4">
      <c r="A36" s="8" t="s">
        <v>19</v>
      </c>
      <c r="B36" s="9">
        <f>SUM(B29:B35)</f>
        <v>350</v>
      </c>
      <c r="C36" s="10">
        <f>SUM(C29:C35)</f>
        <v>1846804.74</v>
      </c>
      <c r="D36" s="10">
        <f t="shared" si="2"/>
        <v>5276.58497142857</v>
      </c>
    </row>
    <row r="37" ht="15" customHeight="1" spans="1:4">
      <c r="A37" s="11" t="s">
        <v>20</v>
      </c>
      <c r="B37" s="12">
        <f>IF(COUNT(B29:B35)=0,"",B12+B24+B36)</f>
        <v>1036</v>
      </c>
      <c r="C37" s="13">
        <f>IF(COUNT(B29:B35)=0,"",C12+C24+C36)</f>
        <v>5305853.68</v>
      </c>
      <c r="D37" s="13">
        <f>IF(B37="","",IFERROR(C37/B37,0))</f>
        <v>5121.48038610039</v>
      </c>
    </row>
    <row r="39" ht="16.5" customHeight="1" spans="1:4">
      <c r="A39" s="2" t="s">
        <v>21</v>
      </c>
      <c r="B39" s="2"/>
      <c r="C39" s="2"/>
      <c r="D39" s="2"/>
    </row>
    <row r="40" spans="1:4">
      <c r="A40" s="3" t="s">
        <v>2</v>
      </c>
      <c r="B40" s="4" t="s">
        <v>3</v>
      </c>
      <c r="C40" s="5" t="s">
        <v>4</v>
      </c>
      <c r="D40" s="5" t="s">
        <v>5</v>
      </c>
    </row>
    <row r="41" spans="1:4">
      <c r="A41" s="6" t="s">
        <v>6</v>
      </c>
      <c r="B41" s="6">
        <v>78</v>
      </c>
      <c r="C41" s="6">
        <v>446840.21</v>
      </c>
      <c r="D41" s="7">
        <f t="shared" ref="D41:D48" si="3">IFERROR(C41/B41,0)</f>
        <v>5728.72064102564</v>
      </c>
    </row>
    <row r="42" spans="1:4">
      <c r="A42" s="6" t="s">
        <v>7</v>
      </c>
      <c r="B42" s="6">
        <v>65</v>
      </c>
      <c r="C42" s="6">
        <v>312956.34</v>
      </c>
      <c r="D42" s="7">
        <f t="shared" si="3"/>
        <v>4814.71292307692</v>
      </c>
    </row>
    <row r="43" spans="1:4">
      <c r="A43" s="6" t="s">
        <v>8</v>
      </c>
      <c r="B43" s="6">
        <v>72</v>
      </c>
      <c r="C43" s="6">
        <v>302398.76</v>
      </c>
      <c r="D43" s="7">
        <f t="shared" si="3"/>
        <v>4199.98277777778</v>
      </c>
    </row>
    <row r="44" spans="1:4">
      <c r="A44" s="6" t="s">
        <v>9</v>
      </c>
      <c r="B44" s="6">
        <v>59</v>
      </c>
      <c r="C44" s="6">
        <v>318169.38</v>
      </c>
      <c r="D44" s="7">
        <f t="shared" si="3"/>
        <v>5392.7013559322</v>
      </c>
    </row>
    <row r="45" spans="1:4">
      <c r="A45" s="6" t="s">
        <v>10</v>
      </c>
      <c r="B45" s="6">
        <v>65</v>
      </c>
      <c r="C45" s="17">
        <v>358230.9</v>
      </c>
      <c r="D45" s="7">
        <f t="shared" si="3"/>
        <v>5511.24461538462</v>
      </c>
    </row>
    <row r="46" spans="1:4">
      <c r="A46" s="6" t="s">
        <v>11</v>
      </c>
      <c r="B46" s="6">
        <v>73</v>
      </c>
      <c r="C46" s="6">
        <v>385026.67</v>
      </c>
      <c r="D46" s="7">
        <f t="shared" si="3"/>
        <v>5274.33794520548</v>
      </c>
    </row>
    <row r="47" spans="1:4">
      <c r="A47" s="6" t="s">
        <v>12</v>
      </c>
      <c r="B47" s="6">
        <v>82</v>
      </c>
      <c r="C47" s="6">
        <v>325908.04</v>
      </c>
      <c r="D47" s="7">
        <f t="shared" si="3"/>
        <v>3974.48829268293</v>
      </c>
    </row>
    <row r="48" ht="15" customHeight="1" spans="1:4">
      <c r="A48" s="8" t="s">
        <v>22</v>
      </c>
      <c r="B48" s="9">
        <f>SUM(B41:B47)</f>
        <v>494</v>
      </c>
      <c r="C48" s="10">
        <f>SUM(C41:C47)</f>
        <v>2449530.3</v>
      </c>
      <c r="D48" s="10">
        <f t="shared" si="3"/>
        <v>4958.56336032389</v>
      </c>
    </row>
    <row r="49" ht="15" customHeight="1" spans="1:4">
      <c r="A49" s="11" t="s">
        <v>23</v>
      </c>
      <c r="B49" s="12">
        <f>IF(COUNT(B41:B47)=0,"",B12+B24+B36+B48)</f>
        <v>1530</v>
      </c>
      <c r="C49" s="13">
        <f>IF(COUNT(B41:B47)=0,"",C12+C24+C36+C48)</f>
        <v>7755383.98</v>
      </c>
      <c r="D49" s="13">
        <f>IF(B49="","",IFERROR(C49/B49,0))</f>
        <v>5068.87841830065</v>
      </c>
    </row>
    <row r="51" ht="18" customHeight="1" spans="1:4">
      <c r="A51" s="2" t="s">
        <v>24</v>
      </c>
      <c r="B51" s="2"/>
      <c r="C51" s="2"/>
      <c r="D51" s="2"/>
    </row>
    <row r="52" spans="1:4">
      <c r="A52" s="3" t="s">
        <v>2</v>
      </c>
      <c r="B52" s="4" t="s">
        <v>3</v>
      </c>
      <c r="C52" s="5" t="s">
        <v>4</v>
      </c>
      <c r="D52" s="5" t="s">
        <v>5</v>
      </c>
    </row>
    <row r="53" spans="1:4">
      <c r="A53" s="6" t="s">
        <v>6</v>
      </c>
      <c r="B53" s="6">
        <v>112</v>
      </c>
      <c r="C53" s="6">
        <v>405955.31</v>
      </c>
      <c r="D53" s="7">
        <f t="shared" ref="D53:D60" si="4">IFERROR(C53/B53,0)</f>
        <v>3624.60098214286</v>
      </c>
    </row>
    <row r="54" spans="1:4">
      <c r="A54" s="6" t="s">
        <v>7</v>
      </c>
      <c r="B54" s="6">
        <v>100</v>
      </c>
      <c r="C54" s="6">
        <v>431350.26</v>
      </c>
      <c r="D54" s="7">
        <f t="shared" si="4"/>
        <v>4313.5026</v>
      </c>
    </row>
    <row r="55" spans="1:4">
      <c r="A55" s="6" t="s">
        <v>8</v>
      </c>
      <c r="B55" s="6">
        <v>96</v>
      </c>
      <c r="C55" s="6">
        <v>460897.38</v>
      </c>
      <c r="D55" s="7">
        <f t="shared" si="4"/>
        <v>4801.014375</v>
      </c>
    </row>
    <row r="56" spans="1:4">
      <c r="A56" s="6" t="s">
        <v>9</v>
      </c>
      <c r="B56" s="6"/>
      <c r="C56" s="6"/>
      <c r="D56" s="7">
        <f t="shared" si="4"/>
        <v>0</v>
      </c>
    </row>
    <row r="57" spans="1:4">
      <c r="A57" s="6" t="s">
        <v>10</v>
      </c>
      <c r="B57" s="6"/>
      <c r="C57" s="17"/>
      <c r="D57" s="7">
        <f t="shared" si="4"/>
        <v>0</v>
      </c>
    </row>
    <row r="58" spans="1:4">
      <c r="A58" s="6" t="s">
        <v>11</v>
      </c>
      <c r="B58" s="6"/>
      <c r="C58" s="6"/>
      <c r="D58" s="7">
        <f t="shared" si="4"/>
        <v>0</v>
      </c>
    </row>
    <row r="59" spans="1:4">
      <c r="A59" s="6" t="s">
        <v>12</v>
      </c>
      <c r="B59" s="6"/>
      <c r="C59" s="6"/>
      <c r="D59" s="7">
        <f t="shared" si="4"/>
        <v>0</v>
      </c>
    </row>
    <row r="60" ht="15.5" spans="1:4">
      <c r="A60" s="8" t="s">
        <v>25</v>
      </c>
      <c r="B60" s="9">
        <f>SUM(B53:B59)</f>
        <v>308</v>
      </c>
      <c r="C60" s="10">
        <f>SUM(C53:C59)</f>
        <v>1298202.95</v>
      </c>
      <c r="D60" s="10">
        <f t="shared" si="4"/>
        <v>4214.94464285714</v>
      </c>
    </row>
    <row r="61" ht="15.5" spans="1:4">
      <c r="A61" s="11" t="s">
        <v>26</v>
      </c>
      <c r="B61" s="12">
        <f>IF(COUNT(B53:B59)=0,"",B12+B24+B36+B48+B60)</f>
        <v>1838</v>
      </c>
      <c r="C61" s="13">
        <f>IF(COUNT(B53:B59)=0,"",C12+C24+C36+C48+C60)</f>
        <v>9053586.93</v>
      </c>
      <c r="D61" s="13">
        <f>IF(B61="","",IFERROR(C61/B61,0))</f>
        <v>4925.78178998912</v>
      </c>
    </row>
    <row r="63" ht="18" spans="1:4">
      <c r="A63" s="14" t="s">
        <v>27</v>
      </c>
      <c r="B63" s="15">
        <f>IF(B61&lt;&gt;"",B61,IF(B49&lt;&gt;"",B49,IF(B37&lt;&gt;"",B37,IF(B25&lt;&gt;"",B25,IF(B13&lt;&gt;"",B13,0)))))</f>
        <v>1838</v>
      </c>
      <c r="C63" s="16">
        <f>IF(C61&lt;&gt;"",C61,IF(C49&lt;&gt;"",C49,IF(C37&lt;&gt;"",C37,IF(C25&lt;&gt;"",C25,IF(C13&lt;&gt;"",C13,0)))))</f>
        <v>9053586.93</v>
      </c>
      <c r="D63" s="16">
        <f>IF(B63=0,0,IFERROR(C63/B63,0))</f>
        <v>4925.78178998912</v>
      </c>
    </row>
  </sheetData>
  <mergeCells count="6">
    <mergeCell ref="A1:D1"/>
    <mergeCell ref="A3:D3"/>
    <mergeCell ref="A15:D15"/>
    <mergeCell ref="A27:D27"/>
    <mergeCell ref="A39:D39"/>
    <mergeCell ref="A51:D5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pane ySplit="2" topLeftCell="A3" activePane="bottomLeft" state="frozen"/>
      <selection/>
      <selection pane="bottomLeft" activeCell="D11" sqref="D11"/>
    </sheetView>
  </sheetViews>
  <sheetFormatPr defaultColWidth="8.69090909090909" defaultRowHeight="14.5" outlineLevelCol="3"/>
  <cols>
    <col min="1" max="1" width="20" customWidth="1"/>
    <col min="2" max="2" width="16" customWidth="1"/>
    <col min="3" max="3" width="17" customWidth="1"/>
    <col min="4" max="4" width="21" customWidth="1"/>
  </cols>
  <sheetData>
    <row r="1" ht="24.75" customHeight="1" spans="1:4">
      <c r="A1" s="1" t="s">
        <v>28</v>
      </c>
      <c r="B1" s="1"/>
      <c r="C1" s="1"/>
      <c r="D1" s="1"/>
    </row>
    <row r="3" ht="16.5" customHeight="1" spans="1:4">
      <c r="A3" s="2" t="s">
        <v>1</v>
      </c>
      <c r="B3" s="2"/>
      <c r="C3" s="2"/>
      <c r="D3" s="2"/>
    </row>
    <row r="4" spans="1:4">
      <c r="A4" s="3" t="s">
        <v>2</v>
      </c>
      <c r="B4" s="4" t="s">
        <v>3</v>
      </c>
      <c r="C4" s="5" t="s">
        <v>4</v>
      </c>
      <c r="D4" s="5" t="s">
        <v>5</v>
      </c>
    </row>
    <row r="5" spans="1:4">
      <c r="A5" s="6" t="s">
        <v>6</v>
      </c>
      <c r="B5" s="6"/>
      <c r="C5" s="6"/>
      <c r="D5" s="7">
        <f t="shared" ref="D5:D12" si="0">IFERROR(C5/B5,0)</f>
        <v>0</v>
      </c>
    </row>
    <row r="6" spans="1:4">
      <c r="A6" s="6" t="s">
        <v>7</v>
      </c>
      <c r="B6" s="6"/>
      <c r="C6" s="6"/>
      <c r="D6" s="7">
        <f t="shared" si="0"/>
        <v>0</v>
      </c>
    </row>
    <row r="7" spans="1:4">
      <c r="A7" s="6" t="s">
        <v>8</v>
      </c>
      <c r="B7" s="6">
        <v>28</v>
      </c>
      <c r="C7" s="6">
        <v>88803.64</v>
      </c>
      <c r="D7" s="7">
        <f t="shared" si="0"/>
        <v>3171.55857142857</v>
      </c>
    </row>
    <row r="8" spans="1:4">
      <c r="A8" s="6" t="s">
        <v>9</v>
      </c>
      <c r="B8" s="6">
        <v>30</v>
      </c>
      <c r="C8" s="6">
        <v>86536.78</v>
      </c>
      <c r="D8" s="7">
        <f t="shared" si="0"/>
        <v>2884.55933333333</v>
      </c>
    </row>
    <row r="9" spans="1:4">
      <c r="A9" s="6" t="s">
        <v>10</v>
      </c>
      <c r="B9" s="6">
        <v>27</v>
      </c>
      <c r="C9" s="6">
        <v>80103.91</v>
      </c>
      <c r="D9" s="7">
        <f t="shared" si="0"/>
        <v>2966.81148148148</v>
      </c>
    </row>
    <row r="10" spans="1:4">
      <c r="A10" s="6" t="s">
        <v>11</v>
      </c>
      <c r="B10" s="6">
        <v>22</v>
      </c>
      <c r="C10" s="6">
        <v>73658.16</v>
      </c>
      <c r="D10" s="7">
        <f t="shared" si="0"/>
        <v>3348.09818181818</v>
      </c>
    </row>
    <row r="11" spans="1:4">
      <c r="A11" s="6" t="s">
        <v>12</v>
      </c>
      <c r="B11" s="6">
        <v>9</v>
      </c>
      <c r="C11" s="6">
        <v>26416.43</v>
      </c>
      <c r="D11" s="7">
        <f t="shared" si="0"/>
        <v>2935.15888888889</v>
      </c>
    </row>
    <row r="12" ht="15" customHeight="1" spans="1:4">
      <c r="A12" s="8" t="s">
        <v>13</v>
      </c>
      <c r="B12" s="9">
        <f>SUM(B5:B11)</f>
        <v>116</v>
      </c>
      <c r="C12" s="10">
        <f>SUM(C5:C11)</f>
        <v>355518.92</v>
      </c>
      <c r="D12" s="10">
        <f t="shared" si="0"/>
        <v>3064.81827586207</v>
      </c>
    </row>
    <row r="13" ht="15" customHeight="1" spans="1:4">
      <c r="A13" s="11" t="s">
        <v>14</v>
      </c>
      <c r="B13" s="12">
        <f>IF(COUNT(B5:B11)=0,"",B12)</f>
        <v>116</v>
      </c>
      <c r="C13" s="13">
        <f>IF(COUNT(B5:B11)=0,"",C12)</f>
        <v>355518.92</v>
      </c>
      <c r="D13" s="13">
        <f>IF(B13="","",IFERROR(C13/B13,0))</f>
        <v>3064.81827586207</v>
      </c>
    </row>
    <row r="15" ht="16.5" customHeight="1" spans="1:4">
      <c r="A15" s="2" t="s">
        <v>15</v>
      </c>
      <c r="B15" s="2"/>
      <c r="C15" s="2"/>
      <c r="D15" s="2"/>
    </row>
    <row r="16" spans="1:4">
      <c r="A16" s="3" t="s">
        <v>2</v>
      </c>
      <c r="B16" s="4" t="s">
        <v>3</v>
      </c>
      <c r="C16" s="5" t="s">
        <v>4</v>
      </c>
      <c r="D16" s="5" t="s">
        <v>5</v>
      </c>
    </row>
    <row r="17" spans="1:4">
      <c r="A17" s="6" t="s">
        <v>6</v>
      </c>
      <c r="B17" s="6"/>
      <c r="C17" s="6"/>
      <c r="D17" s="7">
        <f t="shared" ref="D17:D24" si="1">IFERROR(C17/B17,0)</f>
        <v>0</v>
      </c>
    </row>
    <row r="18" spans="1:4">
      <c r="A18" s="6" t="s">
        <v>7</v>
      </c>
      <c r="B18" s="6"/>
      <c r="C18" s="6"/>
      <c r="D18" s="7">
        <f t="shared" si="1"/>
        <v>0</v>
      </c>
    </row>
    <row r="19" spans="1:4">
      <c r="A19" s="6" t="s">
        <v>8</v>
      </c>
      <c r="B19" s="6"/>
      <c r="C19" s="6"/>
      <c r="D19" s="7">
        <f t="shared" si="1"/>
        <v>0</v>
      </c>
    </row>
    <row r="20" spans="1:4">
      <c r="A20" s="6" t="s">
        <v>9</v>
      </c>
      <c r="B20" s="6"/>
      <c r="C20" s="6"/>
      <c r="D20" s="7">
        <f t="shared" si="1"/>
        <v>0</v>
      </c>
    </row>
    <row r="21" spans="1:4">
      <c r="A21" s="6" t="s">
        <v>10</v>
      </c>
      <c r="B21" s="6"/>
      <c r="C21" s="6"/>
      <c r="D21" s="7">
        <f t="shared" si="1"/>
        <v>0</v>
      </c>
    </row>
    <row r="22" spans="1:4">
      <c r="A22" s="6" t="s">
        <v>11</v>
      </c>
      <c r="B22" s="6"/>
      <c r="C22" s="6"/>
      <c r="D22" s="7">
        <f t="shared" si="1"/>
        <v>0</v>
      </c>
    </row>
    <row r="23" spans="1:4">
      <c r="A23" s="6" t="s">
        <v>12</v>
      </c>
      <c r="B23" s="6"/>
      <c r="C23" s="6"/>
      <c r="D23" s="7">
        <f t="shared" si="1"/>
        <v>0</v>
      </c>
    </row>
    <row r="24" ht="15" customHeight="1" spans="1:4">
      <c r="A24" s="8" t="s">
        <v>16</v>
      </c>
      <c r="B24" s="9">
        <f>SUM(B17:B23)</f>
        <v>0</v>
      </c>
      <c r="C24" s="10">
        <f>SUM(C17:C23)</f>
        <v>0</v>
      </c>
      <c r="D24" s="10">
        <f t="shared" si="1"/>
        <v>0</v>
      </c>
    </row>
    <row r="25" ht="15" customHeight="1" spans="1:4">
      <c r="A25" s="11" t="s">
        <v>17</v>
      </c>
      <c r="B25" s="12" t="str">
        <f>IF(COUNT(B17:B23)=0,"",B12+B24)</f>
        <v/>
      </c>
      <c r="C25" s="13" t="str">
        <f>IF(COUNT(B17:B23)=0,"",C12+C24)</f>
        <v/>
      </c>
      <c r="D25" s="13" t="str">
        <f>IF(B25="","",IFERROR(C25/B25,0))</f>
        <v/>
      </c>
    </row>
    <row r="27" ht="16.5" customHeight="1" spans="1:4">
      <c r="A27" s="2" t="s">
        <v>18</v>
      </c>
      <c r="B27" s="2"/>
      <c r="C27" s="2"/>
      <c r="D27" s="2"/>
    </row>
    <row r="28" spans="1:4">
      <c r="A28" s="3" t="s">
        <v>2</v>
      </c>
      <c r="B28" s="4" t="s">
        <v>3</v>
      </c>
      <c r="C28" s="5" t="s">
        <v>4</v>
      </c>
      <c r="D28" s="5" t="s">
        <v>5</v>
      </c>
    </row>
    <row r="29" spans="1:4">
      <c r="A29" s="6" t="s">
        <v>6</v>
      </c>
      <c r="B29" s="6"/>
      <c r="C29" s="6"/>
      <c r="D29" s="7">
        <f t="shared" ref="D29:D36" si="2">IFERROR(C29/B29,0)</f>
        <v>0</v>
      </c>
    </row>
    <row r="30" spans="1:4">
      <c r="A30" s="6" t="s">
        <v>7</v>
      </c>
      <c r="B30" s="6"/>
      <c r="C30" s="6"/>
      <c r="D30" s="7">
        <f t="shared" si="2"/>
        <v>0</v>
      </c>
    </row>
    <row r="31" spans="1:4">
      <c r="A31" s="6" t="s">
        <v>8</v>
      </c>
      <c r="B31" s="6"/>
      <c r="C31" s="6"/>
      <c r="D31" s="7">
        <f t="shared" si="2"/>
        <v>0</v>
      </c>
    </row>
    <row r="32" spans="1:4">
      <c r="A32" s="6" t="s">
        <v>9</v>
      </c>
      <c r="B32" s="6"/>
      <c r="C32" s="6"/>
      <c r="D32" s="7">
        <f t="shared" si="2"/>
        <v>0</v>
      </c>
    </row>
    <row r="33" spans="1:4">
      <c r="A33" s="6" t="s">
        <v>10</v>
      </c>
      <c r="B33" s="6"/>
      <c r="C33" s="6"/>
      <c r="D33" s="7">
        <f t="shared" si="2"/>
        <v>0</v>
      </c>
    </row>
    <row r="34" spans="1:4">
      <c r="A34" s="6" t="s">
        <v>11</v>
      </c>
      <c r="B34" s="6"/>
      <c r="C34" s="6"/>
      <c r="D34" s="7">
        <f t="shared" si="2"/>
        <v>0</v>
      </c>
    </row>
    <row r="35" spans="1:4">
      <c r="A35" s="6" t="s">
        <v>12</v>
      </c>
      <c r="B35" s="6"/>
      <c r="C35" s="6"/>
      <c r="D35" s="7">
        <f t="shared" si="2"/>
        <v>0</v>
      </c>
    </row>
    <row r="36" ht="15" customHeight="1" spans="1:4">
      <c r="A36" s="8" t="s">
        <v>19</v>
      </c>
      <c r="B36" s="9">
        <f>SUM(B29:B35)</f>
        <v>0</v>
      </c>
      <c r="C36" s="10">
        <f>SUM(C29:C35)</f>
        <v>0</v>
      </c>
      <c r="D36" s="10">
        <f t="shared" si="2"/>
        <v>0</v>
      </c>
    </row>
    <row r="37" ht="15" customHeight="1" spans="1:4">
      <c r="A37" s="11" t="s">
        <v>20</v>
      </c>
      <c r="B37" s="12" t="str">
        <f>IF(COUNT(B29:B35)=0,"",B12+B24+B36)</f>
        <v/>
      </c>
      <c r="C37" s="13" t="str">
        <f>IF(COUNT(B29:B35)=0,"",C12+C24+C36)</f>
        <v/>
      </c>
      <c r="D37" s="13" t="str">
        <f>IF(B37="","",IFERROR(C37/B37,0))</f>
        <v/>
      </c>
    </row>
    <row r="39" ht="16.5" customHeight="1" spans="1:4">
      <c r="A39" s="2" t="s">
        <v>21</v>
      </c>
      <c r="B39" s="2"/>
      <c r="C39" s="2"/>
      <c r="D39" s="2"/>
    </row>
    <row r="40" spans="1:4">
      <c r="A40" s="3" t="s">
        <v>2</v>
      </c>
      <c r="B40" s="4" t="s">
        <v>3</v>
      </c>
      <c r="C40" s="5" t="s">
        <v>4</v>
      </c>
      <c r="D40" s="5" t="s">
        <v>5</v>
      </c>
    </row>
    <row r="41" spans="1:4">
      <c r="A41" s="6" t="s">
        <v>6</v>
      </c>
      <c r="B41" s="6"/>
      <c r="C41" s="6"/>
      <c r="D41" s="7">
        <f t="shared" ref="D41:D48" si="3">IFERROR(C41/B41,0)</f>
        <v>0</v>
      </c>
    </row>
    <row r="42" spans="1:4">
      <c r="A42" s="6" t="s">
        <v>7</v>
      </c>
      <c r="B42" s="6"/>
      <c r="C42" s="6"/>
      <c r="D42" s="7">
        <f t="shared" si="3"/>
        <v>0</v>
      </c>
    </row>
    <row r="43" spans="1:4">
      <c r="A43" s="6" t="s">
        <v>8</v>
      </c>
      <c r="B43" s="6"/>
      <c r="C43" s="6"/>
      <c r="D43" s="7">
        <f t="shared" si="3"/>
        <v>0</v>
      </c>
    </row>
    <row r="44" spans="1:4">
      <c r="A44" s="6" t="s">
        <v>9</v>
      </c>
      <c r="B44" s="6"/>
      <c r="C44" s="6"/>
      <c r="D44" s="7">
        <f t="shared" si="3"/>
        <v>0</v>
      </c>
    </row>
    <row r="45" spans="1:4">
      <c r="A45" s="6" t="s">
        <v>10</v>
      </c>
      <c r="B45" s="6"/>
      <c r="C45" s="6"/>
      <c r="D45" s="7">
        <f t="shared" si="3"/>
        <v>0</v>
      </c>
    </row>
    <row r="46" spans="1:4">
      <c r="A46" s="6" t="s">
        <v>11</v>
      </c>
      <c r="B46" s="6"/>
      <c r="C46" s="6"/>
      <c r="D46" s="7">
        <f t="shared" si="3"/>
        <v>0</v>
      </c>
    </row>
    <row r="47" spans="1:4">
      <c r="A47" s="6" t="s">
        <v>12</v>
      </c>
      <c r="B47" s="6"/>
      <c r="C47" s="6"/>
      <c r="D47" s="7">
        <f t="shared" si="3"/>
        <v>0</v>
      </c>
    </row>
    <row r="48" ht="15" customHeight="1" spans="1:4">
      <c r="A48" s="8" t="s">
        <v>22</v>
      </c>
      <c r="B48" s="9">
        <f>SUM(B41:B47)</f>
        <v>0</v>
      </c>
      <c r="C48" s="10">
        <f>SUM(C41:C47)</f>
        <v>0</v>
      </c>
      <c r="D48" s="10">
        <f t="shared" si="3"/>
        <v>0</v>
      </c>
    </row>
    <row r="49" ht="15" customHeight="1" spans="1:4">
      <c r="A49" s="11" t="s">
        <v>23</v>
      </c>
      <c r="B49" s="12" t="str">
        <f>IF(COUNT(B41:B47)=0,"",B12+B24+B36+B48)</f>
        <v/>
      </c>
      <c r="C49" s="13" t="str">
        <f>IF(COUNT(B41:B47)=0,"",C12+C24+C36+C48)</f>
        <v/>
      </c>
      <c r="D49" s="13" t="str">
        <f>IF(B49="","",IFERROR(C49/B49,0))</f>
        <v/>
      </c>
    </row>
    <row r="51" ht="18" customHeight="1" spans="1:4">
      <c r="A51" s="2" t="s">
        <v>24</v>
      </c>
      <c r="B51" s="2"/>
      <c r="C51" s="2"/>
      <c r="D51" s="2"/>
    </row>
    <row r="52" spans="1:4">
      <c r="A52" s="3" t="s">
        <v>2</v>
      </c>
      <c r="B52" s="4" t="s">
        <v>3</v>
      </c>
      <c r="C52" s="5" t="s">
        <v>4</v>
      </c>
      <c r="D52" s="5" t="s">
        <v>5</v>
      </c>
    </row>
    <row r="53" spans="1:4">
      <c r="A53" s="6" t="s">
        <v>6</v>
      </c>
      <c r="B53" s="6"/>
      <c r="C53" s="6"/>
      <c r="D53" s="7">
        <f t="shared" ref="D53:D60" si="4">IFERROR(C53/B53,0)</f>
        <v>0</v>
      </c>
    </row>
    <row r="54" spans="1:4">
      <c r="A54" s="6" t="s">
        <v>7</v>
      </c>
      <c r="B54" s="6"/>
      <c r="C54" s="6"/>
      <c r="D54" s="7">
        <f t="shared" si="4"/>
        <v>0</v>
      </c>
    </row>
    <row r="55" spans="1:4">
      <c r="A55" s="6" t="s">
        <v>8</v>
      </c>
      <c r="B55" s="6"/>
      <c r="C55" s="6"/>
      <c r="D55" s="7">
        <f t="shared" si="4"/>
        <v>0</v>
      </c>
    </row>
    <row r="56" spans="1:4">
      <c r="A56" s="6" t="s">
        <v>9</v>
      </c>
      <c r="B56" s="6"/>
      <c r="C56" s="6"/>
      <c r="D56" s="7">
        <f t="shared" si="4"/>
        <v>0</v>
      </c>
    </row>
    <row r="57" spans="1:4">
      <c r="A57" s="6" t="s">
        <v>10</v>
      </c>
      <c r="B57" s="6"/>
      <c r="C57" s="6"/>
      <c r="D57" s="7">
        <f t="shared" si="4"/>
        <v>0</v>
      </c>
    </row>
    <row r="58" spans="1:4">
      <c r="A58" s="6" t="s">
        <v>11</v>
      </c>
      <c r="B58" s="6"/>
      <c r="C58" s="6"/>
      <c r="D58" s="7">
        <f t="shared" si="4"/>
        <v>0</v>
      </c>
    </row>
    <row r="59" spans="1:4">
      <c r="A59" s="6" t="s">
        <v>12</v>
      </c>
      <c r="B59" s="6"/>
      <c r="C59" s="6"/>
      <c r="D59" s="7">
        <f t="shared" si="4"/>
        <v>0</v>
      </c>
    </row>
    <row r="60" ht="15.5" spans="1:4">
      <c r="A60" s="8" t="s">
        <v>25</v>
      </c>
      <c r="B60" s="9">
        <f>SUM(B53:B59)</f>
        <v>0</v>
      </c>
      <c r="C60" s="10">
        <f>SUM(C53:C59)</f>
        <v>0</v>
      </c>
      <c r="D60" s="10">
        <f t="shared" si="4"/>
        <v>0</v>
      </c>
    </row>
    <row r="61" ht="15.5" spans="1:4">
      <c r="A61" s="11" t="s">
        <v>26</v>
      </c>
      <c r="B61" s="12" t="str">
        <f>IF(COUNT(B53:B59)=0,"",B12+B24+B36+B48+B60)</f>
        <v/>
      </c>
      <c r="C61" s="13" t="str">
        <f>IF(COUNT(B53:B59)=0,"",C12+C24+C36+C48+C60)</f>
        <v/>
      </c>
      <c r="D61" s="13" t="str">
        <f>IF(B61="","",IFERROR(C61/B61,0))</f>
        <v/>
      </c>
    </row>
    <row r="63" ht="18" spans="1:4">
      <c r="A63" s="14" t="s">
        <v>27</v>
      </c>
      <c r="B63" s="15">
        <f>IF(B61&lt;&gt;"",B61,IF(B49&lt;&gt;"",B49,IF(B37&lt;&gt;"",B37,IF(B25&lt;&gt;"",B25,IF(B13&lt;&gt;"",B13,0)))))</f>
        <v>116</v>
      </c>
      <c r="C63" s="16">
        <f>IF(C61&lt;&gt;"",C61,IF(C49&lt;&gt;"",C49,IF(C37&lt;&gt;"",C37,IF(C25&lt;&gt;"",C25,IF(C13&lt;&gt;"",C13,0)))))</f>
        <v>355518.92</v>
      </c>
      <c r="D63" s="16">
        <f>IF(B63=0,0,IFERROR(C63/B63,0))</f>
        <v>3064.81827586207</v>
      </c>
    </row>
  </sheetData>
  <mergeCells count="6">
    <mergeCell ref="A1:D1"/>
    <mergeCell ref="A3:D3"/>
    <mergeCell ref="A15:D15"/>
    <mergeCell ref="A27:D27"/>
    <mergeCell ref="A39:D39"/>
    <mergeCell ref="A51:D5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GRAZER TEA</vt:lpstr>
      <vt:lpstr>RESPIRA TEA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Dennis</cp:lastModifiedBy>
  <cp:revision>0</cp:revision>
  <dcterms:created xsi:type="dcterms:W3CDTF">2026-09-01T08:50:00Z</dcterms:created>
  <dcterms:modified xsi:type="dcterms:W3CDTF">2026-09-30T04:48:07Z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AD5B95BD35AE48E58408784179823366_13</vt:lpwstr>
  </property>
  <property fmtid="{D5CDD505-2E9C-101B-9397-08002B2CF9AE}" pid="4" name="KSOProductBuildVer">
    <vt:lpwstr>1033-12.1.0.28485</vt:lpwstr>
  </property>
</Properties>
</file>